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HD/1 IMC/Analysis/R_analysis/Config/"/>
    </mc:Choice>
  </mc:AlternateContent>
  <xr:revisionPtr revIDLastSave="0" documentId="13_ncr:1_{A425F161-EB74-3942-8A22-EC3726795287}" xr6:coauthVersionLast="47" xr6:coauthVersionMax="47" xr10:uidLastSave="{00000000-0000-0000-0000-000000000000}"/>
  <bookViews>
    <workbookView xWindow="47200" yWindow="500" windowWidth="26240" windowHeight="18800" xr2:uid="{00000000-000D-0000-FFFF-FFFF00000000}"/>
  </bookViews>
  <sheets>
    <sheet name="updated_match_Sheet2" sheetId="4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2" i="4"/>
  <c r="C3" i="4"/>
  <c r="C4" i="4"/>
  <c r="B12" i="3"/>
  <c r="B5" i="3"/>
  <c r="B4" i="3"/>
  <c r="B2" i="3"/>
  <c r="B11" i="3"/>
  <c r="B8" i="3"/>
  <c r="B6" i="3"/>
  <c r="B7" i="3"/>
  <c r="B9" i="3"/>
  <c r="B10" i="3"/>
  <c r="B3" i="3"/>
</calcChain>
</file>

<file path=xl/sharedStrings.xml><?xml version="1.0" encoding="utf-8"?>
<sst xmlns="http://schemas.openxmlformats.org/spreadsheetml/2006/main" count="87" uniqueCount="84">
  <si>
    <t>File</t>
  </si>
  <si>
    <t>TotalArea</t>
  </si>
  <si>
    <t>Dim1</t>
  </si>
  <si>
    <t>Dim2</t>
  </si>
  <si>
    <t>IP04_rerun_s0_a1_ac.csv</t>
  </si>
  <si>
    <t>IP04_rerun_s0_a2_ac.csv</t>
  </si>
  <si>
    <t>IP04_s0_a1_ac.csv</t>
  </si>
  <si>
    <t>IP04_s0_a2_ac.csv</t>
  </si>
  <si>
    <t>IP04_s0_a3_ac.csv</t>
  </si>
  <si>
    <t>IP04_s0_a4_ac.csv</t>
  </si>
  <si>
    <t>IP04_s0_a5_ac.csv</t>
  </si>
  <si>
    <t>IP04_s0_a6_ac.csv</t>
  </si>
  <si>
    <t>IP04_s0_a7_ac.csv</t>
  </si>
  <si>
    <t>IP04_s0_a8_ac.csv</t>
  </si>
  <si>
    <t>IP04_s0_a9_ac.csv</t>
  </si>
  <si>
    <t>region</t>
  </si>
  <si>
    <t>04_C1_R</t>
  </si>
  <si>
    <t>04_I2_R</t>
  </si>
  <si>
    <t>04_I1</t>
  </si>
  <si>
    <t>04_I2</t>
  </si>
  <si>
    <t>04_I3</t>
  </si>
  <si>
    <t>04_T1</t>
  </si>
  <si>
    <t>04_T2</t>
  </si>
  <si>
    <t>04_T3</t>
  </si>
  <si>
    <t>04_C3</t>
  </si>
  <si>
    <t>04_C2</t>
  </si>
  <si>
    <t>04_C1</t>
  </si>
  <si>
    <t>sample_id</t>
  </si>
  <si>
    <t>317_S_hi_i_hi</t>
  </si>
  <si>
    <t>317_S_hi_i_lo</t>
  </si>
  <si>
    <t>317_T_hi_i_lo</t>
  </si>
  <si>
    <t>317_T_hi_i_hi</t>
  </si>
  <si>
    <t>348_T_hi_i_hi</t>
  </si>
  <si>
    <t>348_S_hi_i_hi</t>
  </si>
  <si>
    <t>348_T_hi_i_lo</t>
  </si>
  <si>
    <t>348_S_hi_i_lo</t>
  </si>
  <si>
    <t>352_S_hi_i_hi</t>
  </si>
  <si>
    <t>352_T_hi_i_hi</t>
  </si>
  <si>
    <t>352_S_hi_i_lo</t>
  </si>
  <si>
    <t>352_T_hi_i_lo</t>
  </si>
  <si>
    <t>357_T_hi_i_lo</t>
  </si>
  <si>
    <t>357_S_hi_i_hi</t>
  </si>
  <si>
    <t>357_S_hi_i_lo</t>
  </si>
  <si>
    <t>361_T_hi_i_hi</t>
  </si>
  <si>
    <t>361_S_hi_i_hi</t>
  </si>
  <si>
    <t>361_T_hi_i_lo</t>
  </si>
  <si>
    <t>361_S_hi_i_lo</t>
  </si>
  <si>
    <t>362_T_hi_i_lo</t>
  </si>
  <si>
    <t>362_T_hi_i_hi</t>
  </si>
  <si>
    <t>362_S_hi_i_lo</t>
  </si>
  <si>
    <t>362_S_hi_i_hi</t>
  </si>
  <si>
    <t>368_S_hi_i_hi</t>
  </si>
  <si>
    <t>368_T_hi_i_hi</t>
  </si>
  <si>
    <t>368_T_hi_i_lo</t>
  </si>
  <si>
    <t>368_S_hi_i_lo</t>
  </si>
  <si>
    <t>369_S_hi_i_lo</t>
  </si>
  <si>
    <t>369_S_hi_i_hi</t>
  </si>
  <si>
    <t>369_T_hi_i_lo</t>
  </si>
  <si>
    <t>369_T_hi_i_hi</t>
  </si>
  <si>
    <t>372_S_hi_i_hi</t>
  </si>
  <si>
    <t>372_T_hi_i_hi</t>
  </si>
  <si>
    <t>372_S_hi_i_lo</t>
  </si>
  <si>
    <t>380_S_hi_i_hi</t>
  </si>
  <si>
    <t>380_T_hi_i_hi</t>
  </si>
  <si>
    <t>380_S_hi_i_lo</t>
  </si>
  <si>
    <t>380_T_hi_i_lo</t>
  </si>
  <si>
    <t>383_S_hi_i_lo</t>
  </si>
  <si>
    <t>383_S_hi_i_hi</t>
  </si>
  <si>
    <t>383_T_hi_i_hi</t>
  </si>
  <si>
    <t>387_S_hi_i_lo</t>
  </si>
  <si>
    <t>387_T_hi_i_hi</t>
  </si>
  <si>
    <t>387_S_hi_i_hi</t>
  </si>
  <si>
    <t>387_T_hi_i_lo</t>
  </si>
  <si>
    <t>388_T_hi_i_lo</t>
  </si>
  <si>
    <t>388_S_hi_i_lo</t>
  </si>
  <si>
    <t>388_T_hi_i_hi</t>
  </si>
  <si>
    <t>388_S_hi_i_hi</t>
  </si>
  <si>
    <t>390_T_hi_i_hi</t>
  </si>
  <si>
    <t>390_T_hi_i_lo</t>
  </si>
  <si>
    <t>390_S_hi_i_lo</t>
  </si>
  <si>
    <t>417_T_hi_i_lo</t>
  </si>
  <si>
    <t>417_T_hi_i_hi</t>
  </si>
  <si>
    <t>417_S_hi_i_lo</t>
  </si>
  <si>
    <t>417_S_hi_i_hi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</si>
</sst>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34AA-398C-4D70-AD94-EDAEDB851AAE}">
  <dimension ref="B1:E57"/>
  <sheetViews>
    <sheetView tabSelected="1" topLeftCell="A20" workbookViewId="0">
      <selection activeCell="C4" sqref="C4:C57"/>
    </sheetView>
  </sheetViews>
  <sheetFormatPr baseColWidth="10" defaultColWidth="8.83203125" defaultRowHeight="15" x14ac:dyDescent="0.2"/>
  <cols>
    <col min="1" max="1" width="13.1640625" bestFit="1" customWidth="1"/>
    <col min="2" max="2" width="12.6640625" bestFit="1" customWidth="1"/>
  </cols>
  <sheetData>
    <row r="1" spans="2:5" x14ac:dyDescent="0.2">
      <c r="B1" t="s">
        <v>27</v>
      </c>
      <c r="C1" t="s">
        <v>1</v>
      </c>
      <c r="D1" t="s">
        <v>2</v>
      </c>
      <c r="E1" t="s">
        <v>3</v>
      </c>
    </row>
    <row r="2" spans="2:5" x14ac:dyDescent="0.2">
      <c r="B2" t="s">
        <v>28</v>
      </c>
      <c r="C2">
        <f t="shared" ref="C2:C3" si="0">D2*E2/1000000</f>
        <v>0.57999999999999996</v>
      </c>
      <c r="D2">
        <v>580</v>
      </c>
      <c r="E2">
        <v>1000</v>
      </c>
    </row>
    <row r="3" spans="2:5" ht="16" x14ac:dyDescent="0.2">
      <c r="B3" s="1" t="s">
        <v>29</v>
      </c>
      <c r="C3">
        <f t="shared" si="0"/>
        <v>1</v>
      </c>
      <c r="D3">
        <v>1000</v>
      </c>
      <c r="E3">
        <v>1000</v>
      </c>
    </row>
    <row r="4" spans="2:5" ht="16" x14ac:dyDescent="0.2">
      <c r="B4" s="1" t="s">
        <v>30</v>
      </c>
      <c r="C4">
        <f>D4*E4/1000000</f>
        <v>1</v>
      </c>
      <c r="D4">
        <v>1000</v>
      </c>
      <c r="E4">
        <v>1000</v>
      </c>
    </row>
    <row r="5" spans="2:5" x14ac:dyDescent="0.2">
      <c r="B5" t="s">
        <v>31</v>
      </c>
      <c r="C5">
        <f t="shared" ref="C5:C57" si="1">D5*E5/1000000</f>
        <v>1</v>
      </c>
      <c r="D5">
        <v>1000</v>
      </c>
      <c r="E5">
        <v>1000</v>
      </c>
    </row>
    <row r="6" spans="2:5" x14ac:dyDescent="0.2">
      <c r="B6" t="s">
        <v>32</v>
      </c>
      <c r="C6">
        <f t="shared" si="1"/>
        <v>1</v>
      </c>
      <c r="D6">
        <v>1000</v>
      </c>
      <c r="E6">
        <v>1000</v>
      </c>
    </row>
    <row r="7" spans="2:5" x14ac:dyDescent="0.2">
      <c r="B7" t="s">
        <v>33</v>
      </c>
      <c r="C7">
        <f t="shared" si="1"/>
        <v>1</v>
      </c>
      <c r="D7">
        <v>1000</v>
      </c>
      <c r="E7">
        <v>1000</v>
      </c>
    </row>
    <row r="8" spans="2:5" ht="16" x14ac:dyDescent="0.2">
      <c r="B8" s="1" t="s">
        <v>34</v>
      </c>
      <c r="C8">
        <f t="shared" si="1"/>
        <v>1</v>
      </c>
      <c r="D8">
        <v>1000</v>
      </c>
      <c r="E8">
        <v>1000</v>
      </c>
    </row>
    <row r="9" spans="2:5" ht="16" x14ac:dyDescent="0.2">
      <c r="B9" s="1" t="s">
        <v>35</v>
      </c>
      <c r="C9">
        <f t="shared" si="1"/>
        <v>1</v>
      </c>
      <c r="D9">
        <v>1000</v>
      </c>
      <c r="E9">
        <v>1000</v>
      </c>
    </row>
    <row r="10" spans="2:5" x14ac:dyDescent="0.2">
      <c r="B10" t="s">
        <v>36</v>
      </c>
      <c r="C10">
        <f t="shared" si="1"/>
        <v>1</v>
      </c>
      <c r="D10">
        <v>1000</v>
      </c>
      <c r="E10">
        <v>1000</v>
      </c>
    </row>
    <row r="11" spans="2:5" x14ac:dyDescent="0.2">
      <c r="B11" t="s">
        <v>37</v>
      </c>
      <c r="C11">
        <f t="shared" si="1"/>
        <v>1</v>
      </c>
      <c r="D11">
        <v>1000</v>
      </c>
      <c r="E11">
        <v>1000</v>
      </c>
    </row>
    <row r="12" spans="2:5" ht="16" x14ac:dyDescent="0.2">
      <c r="B12" s="1" t="s">
        <v>38</v>
      </c>
      <c r="C12">
        <f t="shared" si="1"/>
        <v>1</v>
      </c>
      <c r="D12">
        <v>1000</v>
      </c>
      <c r="E12">
        <v>1000</v>
      </c>
    </row>
    <row r="13" spans="2:5" ht="16" x14ac:dyDescent="0.2">
      <c r="B13" s="1" t="s">
        <v>39</v>
      </c>
      <c r="C13">
        <f t="shared" si="1"/>
        <v>1</v>
      </c>
      <c r="D13">
        <v>1000</v>
      </c>
      <c r="E13">
        <v>1000</v>
      </c>
    </row>
    <row r="14" spans="2:5" ht="16" x14ac:dyDescent="0.2">
      <c r="B14" s="1" t="s">
        <v>40</v>
      </c>
      <c r="C14">
        <f t="shared" si="1"/>
        <v>1.21</v>
      </c>
      <c r="D14">
        <v>1100</v>
      </c>
      <c r="E14">
        <v>1100</v>
      </c>
    </row>
    <row r="15" spans="2:5" x14ac:dyDescent="0.2">
      <c r="B15" t="s">
        <v>41</v>
      </c>
      <c r="C15">
        <f t="shared" si="1"/>
        <v>1.21</v>
      </c>
      <c r="D15">
        <v>1100</v>
      </c>
      <c r="E15">
        <v>1100</v>
      </c>
    </row>
    <row r="16" spans="2:5" ht="16" x14ac:dyDescent="0.2">
      <c r="B16" s="1" t="s">
        <v>42</v>
      </c>
      <c r="C16">
        <f t="shared" si="1"/>
        <v>1.21</v>
      </c>
      <c r="D16">
        <v>1100</v>
      </c>
      <c r="E16">
        <v>1100</v>
      </c>
    </row>
    <row r="17" spans="2:5" x14ac:dyDescent="0.2">
      <c r="B17" t="s">
        <v>43</v>
      </c>
      <c r="C17">
        <f t="shared" si="1"/>
        <v>1.21</v>
      </c>
      <c r="D17">
        <v>1100</v>
      </c>
      <c r="E17">
        <v>1100</v>
      </c>
    </row>
    <row r="18" spans="2:5" x14ac:dyDescent="0.2">
      <c r="B18" t="s">
        <v>44</v>
      </c>
      <c r="C18">
        <f t="shared" si="1"/>
        <v>1.21</v>
      </c>
      <c r="D18">
        <v>1100</v>
      </c>
      <c r="E18">
        <v>1100</v>
      </c>
    </row>
    <row r="19" spans="2:5" ht="16" x14ac:dyDescent="0.2">
      <c r="B19" s="1" t="s">
        <v>45</v>
      </c>
      <c r="C19">
        <f t="shared" si="1"/>
        <v>1.21</v>
      </c>
      <c r="D19">
        <v>1100</v>
      </c>
      <c r="E19">
        <v>1100</v>
      </c>
    </row>
    <row r="20" spans="2:5" ht="16" x14ac:dyDescent="0.2">
      <c r="B20" s="1" t="s">
        <v>46</v>
      </c>
      <c r="C20">
        <f t="shared" si="1"/>
        <v>1.21</v>
      </c>
      <c r="D20">
        <v>1100</v>
      </c>
      <c r="E20">
        <v>1100</v>
      </c>
    </row>
    <row r="21" spans="2:5" ht="16" x14ac:dyDescent="0.2">
      <c r="B21" s="1" t="s">
        <v>47</v>
      </c>
      <c r="C21">
        <f t="shared" si="1"/>
        <v>1.21</v>
      </c>
      <c r="D21">
        <v>1100</v>
      </c>
      <c r="E21">
        <v>1100</v>
      </c>
    </row>
    <row r="22" spans="2:5" x14ac:dyDescent="0.2">
      <c r="B22" t="s">
        <v>48</v>
      </c>
      <c r="C22">
        <f t="shared" si="1"/>
        <v>1.21</v>
      </c>
      <c r="D22">
        <v>1100</v>
      </c>
      <c r="E22">
        <v>1100</v>
      </c>
    </row>
    <row r="23" spans="2:5" ht="16" x14ac:dyDescent="0.2">
      <c r="B23" s="1" t="s">
        <v>49</v>
      </c>
      <c r="C23">
        <f t="shared" si="1"/>
        <v>1.21</v>
      </c>
      <c r="D23">
        <v>1100</v>
      </c>
      <c r="E23">
        <v>1100</v>
      </c>
    </row>
    <row r="24" spans="2:5" x14ac:dyDescent="0.2">
      <c r="B24" t="s">
        <v>50</v>
      </c>
      <c r="C24">
        <f t="shared" si="1"/>
        <v>1.21</v>
      </c>
      <c r="D24">
        <v>1100</v>
      </c>
      <c r="E24">
        <v>1100</v>
      </c>
    </row>
    <row r="25" spans="2:5" x14ac:dyDescent="0.2">
      <c r="B25" t="s">
        <v>51</v>
      </c>
      <c r="C25">
        <f t="shared" si="1"/>
        <v>1.21</v>
      </c>
      <c r="D25">
        <v>1100</v>
      </c>
      <c r="E25">
        <v>1100</v>
      </c>
    </row>
    <row r="26" spans="2:5" x14ac:dyDescent="0.2">
      <c r="B26" t="s">
        <v>52</v>
      </c>
      <c r="C26">
        <f t="shared" si="1"/>
        <v>1.21</v>
      </c>
      <c r="D26">
        <v>1100</v>
      </c>
      <c r="E26">
        <v>1100</v>
      </c>
    </row>
    <row r="27" spans="2:5" ht="16" x14ac:dyDescent="0.2">
      <c r="B27" s="1" t="s">
        <v>53</v>
      </c>
      <c r="C27">
        <f t="shared" si="1"/>
        <v>1.21</v>
      </c>
      <c r="D27">
        <v>1100</v>
      </c>
      <c r="E27">
        <v>1100</v>
      </c>
    </row>
    <row r="28" spans="2:5" ht="16" x14ac:dyDescent="0.2">
      <c r="B28" s="1" t="s">
        <v>54</v>
      </c>
      <c r="C28">
        <f t="shared" si="1"/>
        <v>1.21</v>
      </c>
      <c r="D28">
        <v>1100</v>
      </c>
      <c r="E28">
        <v>1100</v>
      </c>
    </row>
    <row r="29" spans="2:5" ht="16" x14ac:dyDescent="0.2">
      <c r="B29" s="1" t="s">
        <v>55</v>
      </c>
      <c r="C29">
        <f t="shared" si="1"/>
        <v>1.21</v>
      </c>
      <c r="D29">
        <v>1100</v>
      </c>
      <c r="E29">
        <v>1100</v>
      </c>
    </row>
    <row r="30" spans="2:5" x14ac:dyDescent="0.2">
      <c r="B30" t="s">
        <v>56</v>
      </c>
      <c r="C30">
        <f t="shared" si="1"/>
        <v>1.21</v>
      </c>
      <c r="D30">
        <v>1100</v>
      </c>
      <c r="E30">
        <v>1100</v>
      </c>
    </row>
    <row r="31" spans="2:5" ht="16" x14ac:dyDescent="0.2">
      <c r="B31" s="1" t="s">
        <v>57</v>
      </c>
      <c r="C31">
        <f t="shared" si="1"/>
        <v>1.21</v>
      </c>
      <c r="D31">
        <v>1100</v>
      </c>
      <c r="E31">
        <v>1100</v>
      </c>
    </row>
    <row r="32" spans="2:5" x14ac:dyDescent="0.2">
      <c r="B32" t="s">
        <v>58</v>
      </c>
      <c r="C32">
        <f t="shared" si="1"/>
        <v>1.21</v>
      </c>
      <c r="D32">
        <v>1100</v>
      </c>
      <c r="E32">
        <v>1100</v>
      </c>
    </row>
    <row r="33" spans="2:5" x14ac:dyDescent="0.2">
      <c r="B33" t="s">
        <v>59</v>
      </c>
      <c r="C33">
        <f t="shared" si="1"/>
        <v>1.21</v>
      </c>
      <c r="D33">
        <v>1100</v>
      </c>
      <c r="E33">
        <v>1100</v>
      </c>
    </row>
    <row r="34" spans="2:5" x14ac:dyDescent="0.2">
      <c r="B34" t="s">
        <v>60</v>
      </c>
      <c r="C34">
        <f t="shared" si="1"/>
        <v>1.21</v>
      </c>
      <c r="D34">
        <v>1100</v>
      </c>
      <c r="E34">
        <v>1100</v>
      </c>
    </row>
    <row r="35" spans="2:5" ht="16" x14ac:dyDescent="0.2">
      <c r="B35" s="1" t="s">
        <v>61</v>
      </c>
      <c r="C35">
        <f t="shared" si="1"/>
        <v>1.21</v>
      </c>
      <c r="D35">
        <v>1100</v>
      </c>
      <c r="E35">
        <v>1100</v>
      </c>
    </row>
    <row r="36" spans="2:5" x14ac:dyDescent="0.2">
      <c r="B36" t="s">
        <v>62</v>
      </c>
      <c r="C36">
        <f t="shared" si="1"/>
        <v>1</v>
      </c>
      <c r="D36">
        <v>1000</v>
      </c>
      <c r="E36">
        <v>1000</v>
      </c>
    </row>
    <row r="37" spans="2:5" x14ac:dyDescent="0.2">
      <c r="B37" t="s">
        <v>63</v>
      </c>
      <c r="C37">
        <f t="shared" si="1"/>
        <v>1</v>
      </c>
      <c r="D37">
        <v>1000</v>
      </c>
      <c r="E37">
        <v>1000</v>
      </c>
    </row>
    <row r="38" spans="2:5" ht="16" x14ac:dyDescent="0.2">
      <c r="B38" s="1" t="s">
        <v>64</v>
      </c>
      <c r="C38">
        <f t="shared" si="1"/>
        <v>1</v>
      </c>
      <c r="D38">
        <v>1000</v>
      </c>
      <c r="E38">
        <v>1000</v>
      </c>
    </row>
    <row r="39" spans="2:5" ht="16" x14ac:dyDescent="0.2">
      <c r="B39" s="1" t="s">
        <v>65</v>
      </c>
      <c r="C39">
        <f t="shared" si="1"/>
        <v>1</v>
      </c>
      <c r="D39">
        <v>1000</v>
      </c>
      <c r="E39">
        <v>1000</v>
      </c>
    </row>
    <row r="40" spans="2:5" ht="16" x14ac:dyDescent="0.2">
      <c r="B40" s="1" t="s">
        <v>66</v>
      </c>
      <c r="C40">
        <f t="shared" si="1"/>
        <v>1</v>
      </c>
      <c r="D40">
        <v>1000</v>
      </c>
      <c r="E40">
        <v>1000</v>
      </c>
    </row>
    <row r="41" spans="2:5" x14ac:dyDescent="0.2">
      <c r="B41" t="s">
        <v>67</v>
      </c>
      <c r="C41">
        <f t="shared" si="1"/>
        <v>1</v>
      </c>
      <c r="D41">
        <v>1000</v>
      </c>
      <c r="E41">
        <v>1000</v>
      </c>
    </row>
    <row r="42" spans="2:5" x14ac:dyDescent="0.2">
      <c r="B42" t="s">
        <v>68</v>
      </c>
      <c r="C42">
        <f t="shared" si="1"/>
        <v>1</v>
      </c>
      <c r="D42">
        <v>1000</v>
      </c>
      <c r="E42">
        <v>1000</v>
      </c>
    </row>
    <row r="43" spans="2:5" ht="16" x14ac:dyDescent="0.2">
      <c r="B43" s="1" t="s">
        <v>69</v>
      </c>
      <c r="C43">
        <f t="shared" si="1"/>
        <v>1</v>
      </c>
      <c r="D43">
        <v>1000</v>
      </c>
      <c r="E43">
        <v>1000</v>
      </c>
    </row>
    <row r="44" spans="2:5" x14ac:dyDescent="0.2">
      <c r="B44" t="s">
        <v>70</v>
      </c>
      <c r="C44">
        <f t="shared" si="1"/>
        <v>1</v>
      </c>
      <c r="D44">
        <v>1000</v>
      </c>
      <c r="E44">
        <v>1000</v>
      </c>
    </row>
    <row r="45" spans="2:5" x14ac:dyDescent="0.2">
      <c r="B45" t="s">
        <v>71</v>
      </c>
      <c r="C45">
        <f t="shared" si="1"/>
        <v>1</v>
      </c>
      <c r="D45">
        <v>1000</v>
      </c>
      <c r="E45">
        <v>1000</v>
      </c>
    </row>
    <row r="46" spans="2:5" ht="16" x14ac:dyDescent="0.2">
      <c r="B46" s="1" t="s">
        <v>72</v>
      </c>
      <c r="C46">
        <f t="shared" si="1"/>
        <v>1</v>
      </c>
      <c r="D46">
        <v>1000</v>
      </c>
      <c r="E46">
        <v>1000</v>
      </c>
    </row>
    <row r="47" spans="2:5" ht="16" x14ac:dyDescent="0.2">
      <c r="B47" s="1" t="s">
        <v>73</v>
      </c>
      <c r="C47">
        <f t="shared" si="1"/>
        <v>1</v>
      </c>
      <c r="D47">
        <v>1000</v>
      </c>
      <c r="E47">
        <v>1000</v>
      </c>
    </row>
    <row r="48" spans="2:5" ht="16" x14ac:dyDescent="0.2">
      <c r="B48" s="1" t="s">
        <v>74</v>
      </c>
      <c r="C48">
        <f t="shared" si="1"/>
        <v>1</v>
      </c>
      <c r="D48">
        <v>1000</v>
      </c>
      <c r="E48">
        <v>1000</v>
      </c>
    </row>
    <row r="49" spans="2:5" x14ac:dyDescent="0.2">
      <c r="B49" t="s">
        <v>75</v>
      </c>
      <c r="C49">
        <f t="shared" si="1"/>
        <v>1</v>
      </c>
      <c r="D49">
        <v>1000</v>
      </c>
      <c r="E49">
        <v>1000</v>
      </c>
    </row>
    <row r="50" spans="2:5" x14ac:dyDescent="0.2">
      <c r="B50" t="s">
        <v>76</v>
      </c>
      <c r="C50">
        <f t="shared" si="1"/>
        <v>1</v>
      </c>
      <c r="D50">
        <v>1000</v>
      </c>
      <c r="E50">
        <v>1000</v>
      </c>
    </row>
    <row r="51" spans="2:5" x14ac:dyDescent="0.2">
      <c r="B51" t="s">
        <v>77</v>
      </c>
      <c r="C51">
        <f t="shared" si="1"/>
        <v>1</v>
      </c>
      <c r="D51">
        <v>1000</v>
      </c>
      <c r="E51">
        <v>1000</v>
      </c>
    </row>
    <row r="52" spans="2:5" ht="16" x14ac:dyDescent="0.2">
      <c r="B52" s="1" t="s">
        <v>78</v>
      </c>
      <c r="C52">
        <f t="shared" si="1"/>
        <v>1</v>
      </c>
      <c r="D52">
        <v>1000</v>
      </c>
      <c r="E52">
        <v>1000</v>
      </c>
    </row>
    <row r="53" spans="2:5" ht="16" x14ac:dyDescent="0.2">
      <c r="B53" s="1" t="s">
        <v>79</v>
      </c>
      <c r="C53">
        <f t="shared" si="1"/>
        <v>1</v>
      </c>
      <c r="D53">
        <v>1000</v>
      </c>
      <c r="E53">
        <v>1000</v>
      </c>
    </row>
    <row r="54" spans="2:5" ht="16" x14ac:dyDescent="0.2">
      <c r="B54" s="1" t="s">
        <v>80</v>
      </c>
      <c r="C54">
        <f t="shared" si="1"/>
        <v>1</v>
      </c>
      <c r="D54">
        <v>1000</v>
      </c>
      <c r="E54">
        <v>1000</v>
      </c>
    </row>
    <row r="55" spans="2:5" x14ac:dyDescent="0.2">
      <c r="B55" t="s">
        <v>81</v>
      </c>
      <c r="C55">
        <f t="shared" si="1"/>
        <v>1</v>
      </c>
      <c r="D55">
        <v>1000</v>
      </c>
      <c r="E55">
        <v>1000</v>
      </c>
    </row>
    <row r="56" spans="2:5" ht="16" x14ac:dyDescent="0.2">
      <c r="B56" s="1" t="s">
        <v>82</v>
      </c>
      <c r="C56">
        <f t="shared" si="1"/>
        <v>1</v>
      </c>
      <c r="D56">
        <v>1000</v>
      </c>
      <c r="E56">
        <v>1000</v>
      </c>
    </row>
    <row r="57" spans="2:5" x14ac:dyDescent="0.2">
      <c r="B57" t="s">
        <v>83</v>
      </c>
      <c r="C57">
        <f t="shared" si="1"/>
        <v>1</v>
      </c>
      <c r="D57">
        <v>1000</v>
      </c>
      <c r="E5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C1" sqref="C1:D1048576"/>
    </sheetView>
  </sheetViews>
  <sheetFormatPr baseColWidth="10" defaultColWidth="8.83203125" defaultRowHeight="15" x14ac:dyDescent="0.2"/>
  <cols>
    <col min="1" max="1" width="17" bestFit="1" customWidth="1"/>
    <col min="2" max="2" width="11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 t="s">
        <v>14</v>
      </c>
      <c r="B2">
        <f t="shared" ref="B2:B12" si="0">(C2*D2)/1000000</f>
        <v>1.57728</v>
      </c>
      <c r="C2">
        <v>1272</v>
      </c>
      <c r="D2">
        <v>1240</v>
      </c>
      <c r="E2" t="s">
        <v>26</v>
      </c>
    </row>
    <row r="3" spans="1:5" x14ac:dyDescent="0.2">
      <c r="A3" t="s">
        <v>4</v>
      </c>
      <c r="B3">
        <f t="shared" si="0"/>
        <v>1.44</v>
      </c>
      <c r="C3">
        <v>1200</v>
      </c>
      <c r="D3">
        <v>1200</v>
      </c>
      <c r="E3" t="s">
        <v>16</v>
      </c>
    </row>
    <row r="4" spans="1:5" x14ac:dyDescent="0.2">
      <c r="A4" t="s">
        <v>13</v>
      </c>
      <c r="B4">
        <f t="shared" si="0"/>
        <v>1.5625</v>
      </c>
      <c r="C4">
        <v>1250</v>
      </c>
      <c r="D4">
        <v>1250</v>
      </c>
      <c r="E4" t="s">
        <v>25</v>
      </c>
    </row>
    <row r="5" spans="1:5" x14ac:dyDescent="0.2">
      <c r="A5" t="s">
        <v>12</v>
      </c>
      <c r="B5">
        <f t="shared" si="0"/>
        <v>1.5625</v>
      </c>
      <c r="C5">
        <v>1250</v>
      </c>
      <c r="D5">
        <v>1250</v>
      </c>
      <c r="E5" t="s">
        <v>24</v>
      </c>
    </row>
    <row r="6" spans="1:5" x14ac:dyDescent="0.2">
      <c r="A6" t="s">
        <v>6</v>
      </c>
      <c r="B6">
        <f t="shared" si="0"/>
        <v>1.5625</v>
      </c>
      <c r="C6">
        <v>1250</v>
      </c>
      <c r="D6">
        <v>1250</v>
      </c>
      <c r="E6" t="s">
        <v>18</v>
      </c>
    </row>
    <row r="7" spans="1:5" x14ac:dyDescent="0.2">
      <c r="A7" t="s">
        <v>7</v>
      </c>
      <c r="B7">
        <f t="shared" si="0"/>
        <v>1.5625</v>
      </c>
      <c r="C7">
        <v>1250</v>
      </c>
      <c r="D7">
        <v>1250</v>
      </c>
      <c r="E7" t="s">
        <v>19</v>
      </c>
    </row>
    <row r="8" spans="1:5" x14ac:dyDescent="0.2">
      <c r="A8" t="s">
        <v>5</v>
      </c>
      <c r="B8">
        <f t="shared" si="0"/>
        <v>1.17</v>
      </c>
      <c r="C8">
        <v>900</v>
      </c>
      <c r="D8">
        <v>1300</v>
      </c>
      <c r="E8" t="s">
        <v>17</v>
      </c>
    </row>
    <row r="9" spans="1:5" x14ac:dyDescent="0.2">
      <c r="A9" t="s">
        <v>8</v>
      </c>
      <c r="B9">
        <f t="shared" si="0"/>
        <v>1.5625</v>
      </c>
      <c r="C9">
        <v>1250</v>
      </c>
      <c r="D9">
        <v>1250</v>
      </c>
      <c r="E9" t="s">
        <v>20</v>
      </c>
    </row>
    <row r="10" spans="1:5" x14ac:dyDescent="0.2">
      <c r="A10" t="s">
        <v>9</v>
      </c>
      <c r="B10">
        <f t="shared" si="0"/>
        <v>1.5625</v>
      </c>
      <c r="C10">
        <v>1250</v>
      </c>
      <c r="D10">
        <v>1250</v>
      </c>
      <c r="E10" t="s">
        <v>21</v>
      </c>
    </row>
    <row r="11" spans="1:5" x14ac:dyDescent="0.2">
      <c r="A11" t="s">
        <v>10</v>
      </c>
      <c r="B11">
        <f t="shared" si="0"/>
        <v>1.5625</v>
      </c>
      <c r="C11">
        <v>1250</v>
      </c>
      <c r="D11">
        <v>1250</v>
      </c>
      <c r="E11" t="s">
        <v>22</v>
      </c>
    </row>
    <row r="12" spans="1:5" x14ac:dyDescent="0.2">
      <c r="A12" t="s">
        <v>11</v>
      </c>
      <c r="B12">
        <f t="shared" si="0"/>
        <v>1.5625</v>
      </c>
      <c r="C12">
        <v>1250</v>
      </c>
      <c r="D12">
        <v>1250</v>
      </c>
      <c r="E12" t="s">
        <v>23</v>
      </c>
    </row>
  </sheetData>
  <sortState xmlns:xlrd2="http://schemas.microsoft.com/office/spreadsheetml/2017/richdata2" ref="A2:E12">
    <sortCondition ref="E1:E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versions xmlns="http://schemas.microsoft.com/SolverFoundationForExcel/Version">
  <addinversion>3.1</addinversion>
</version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Props1.xml><?xml version="1.0" encoding="utf-8"?>
<ds:datastoreItem xmlns:ds="http://schemas.openxmlformats.org/officeDocument/2006/customXml" ds:itemID="{0EC989F2-1264-4ED7-9FCC-800A5E09F5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229E6-2CFF-468A-8884-90BCC036B9BF}">
  <ds:schemaRefs>
    <ds:schemaRef ds:uri="http://schemas.microsoft.com/SolverFoundationForExcel/Version"/>
  </ds:schemaRefs>
</ds:datastoreItem>
</file>

<file path=customXml/itemProps3.xml><?xml version="1.0" encoding="utf-8"?>
<ds:datastoreItem xmlns:ds="http://schemas.openxmlformats.org/officeDocument/2006/customXml" ds:itemID="{5C5581E1-557A-4B5F-93F0-2340FBC40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B70FEED-576F-4AF5-9A73-B7CB79A6A596}">
  <ds:schemaRefs>
    <ds:schemaRef ds:uri="http://schemas.microsoft.com/office/infopath/2007/PartnerControls"/>
    <ds:schemaRef ds:uri="76974add-a333-4d65-9405-1be56479fe15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832bd864-d0a9-4625-bd32-264667251b7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updated_match_Sheet2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Sam Guinn</cp:lastModifiedBy>
  <dcterms:created xsi:type="dcterms:W3CDTF">2023-01-19T16:47:05Z</dcterms:created>
  <dcterms:modified xsi:type="dcterms:W3CDTF">2023-12-06T17:21:07Z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